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upuestos" sheetId="2" state="visible" r:id="rId2"/>
    <sheet name="Productos" sheetId="3" state="visible" r:id="rId3"/>
    <sheet name="Modelo mensual" sheetId="4" state="visible" r:id="rId4"/>
    <sheet name="Escenarios" sheetId="5" state="visible" r:id="rId5"/>
    <sheet name="Fuen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.0"/>
    <numFmt numFmtId="166" formatCode="0.0%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  <sz val="11"/>
    </font>
    <font>
      <b val="1"/>
      <color rgb="00000000"/>
      <sz val="10"/>
    </font>
    <font>
      <b val="1"/>
      <sz val="10"/>
    </font>
    <font>
      <color rgb="00444444"/>
      <sz val="9"/>
    </font>
    <font>
      <b val="1"/>
      <sz val="12"/>
    </font>
    <font>
      <b val="1"/>
      <color rgb="00FFFFFF"/>
      <sz val="12"/>
    </font>
    <font>
      <color rgb="00000000"/>
      <sz val="10"/>
    </font>
    <font>
      <sz val="10"/>
    </font>
    <font>
      <color rgb="00555555"/>
      <sz val="9"/>
    </font>
    <font>
      <i val="1"/>
      <color rgb="00000000"/>
      <sz val="9"/>
    </font>
    <font>
      <color rgb="000563C1"/>
      <sz val="9"/>
      <u val="single"/>
    </font>
    <font>
      <i val="1"/>
      <color rgb="00777777"/>
      <sz val="9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E8C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7F0"/>
      </patternFill>
    </fill>
    <fill>
      <patternFill patternType="solid">
        <fgColor rgb="00F8D7DA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E0A800"/>
      </left>
      <right style="thin">
        <color rgb="00E0A800"/>
      </right>
      <top style="thin">
        <color rgb="00E0A800"/>
      </top>
      <bottom style="thin">
        <color rgb="00E0A80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 wrapText="1"/>
    </xf>
    <xf numFmtId="165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4" fontId="10" fillId="4" borderId="2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166" fontId="10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 wrapText="1"/>
    </xf>
    <xf numFmtId="9" fontId="10" fillId="4" borderId="1" applyAlignment="1" pivotButton="0" quotePrefix="0" xfId="0">
      <alignment horizontal="right"/>
    </xf>
    <xf numFmtId="9" fontId="10" fillId="0" borderId="1" applyAlignment="1" pivotButton="0" quotePrefix="0" xfId="0">
      <alignment horizontal="right"/>
    </xf>
    <xf numFmtId="0" fontId="0" fillId="0" borderId="1" pivotButton="0" quotePrefix="0" xfId="0"/>
    <xf numFmtId="9" fontId="5" fillId="6" borderId="1" applyAlignment="1" pivotButton="0" quotePrefix="0" xfId="0">
      <alignment horizontal="right"/>
    </xf>
    <xf numFmtId="9" fontId="5" fillId="0" borderId="1" applyAlignment="1" pivotButton="0" quotePrefix="0" xfId="0">
      <alignment horizontal="right"/>
    </xf>
    <xf numFmtId="164" fontId="10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0" fontId="13" fillId="0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losprecios.co/d1_t1/bebidas/aguas_s18" TargetMode="External" Id="rId1" /><Relationship Type="http://schemas.openxmlformats.org/officeDocument/2006/relationships/hyperlink" Target="https://losprecios.co/d1_t1/bebidas/aguas_s18" TargetMode="External" Id="rId2" /><Relationship Type="http://schemas.openxmlformats.org/officeDocument/2006/relationships/hyperlink" Target="https://losprecios.co/d1_t1/bebidas/aguas_s18" TargetMode="External" Id="rId3" /><Relationship Type="http://schemas.openxmlformats.org/officeDocument/2006/relationships/hyperlink" Target="https://www.megatiendas.co/agua-cristal-sin-gas-x-600-ml-7702090022711/p" TargetMode="External" Id="rId4" /><Relationship Type="http://schemas.openxmlformats.org/officeDocument/2006/relationships/hyperlink" Target="https://www.exito.com/agua-ahorra-pack-pet-845228/p" TargetMode="External" Id="rId5" /><Relationship Type="http://schemas.openxmlformats.org/officeDocument/2006/relationships/hyperlink" Target="https://colombia.oxxodomicilios.com/product-details/agua-purificada-cristal-600ml/01H1Y71ZTVND8EWVXHS05EHMWQ" TargetMode="External" Id="rId6" /><Relationship Type="http://schemas.openxmlformats.org/officeDocument/2006/relationships/hyperlink" Target="https://losprecios.co/d1_t1/dulces-y-pasabocas/paquetes_s45" TargetMode="External" Id="rId7" /><Relationship Type="http://schemas.openxmlformats.org/officeDocument/2006/relationships/hyperlink" Target="https://losprecios.co/d1_t1/dulces-y-pasabocas/paquetes_s45" TargetMode="External" Id="rId8" /><Relationship Type="http://schemas.openxmlformats.org/officeDocument/2006/relationships/hyperlink" Target="https://mucura.co/bogota/marca/yupi" TargetMode="External" Id="rId9" /><Relationship Type="http://schemas.openxmlformats.org/officeDocument/2006/relationships/hyperlink" Target="https://www.rappi.com.co/p/margarita-papas-fritas-natural-101993" TargetMode="External" Id="rId10" /><Relationship Type="http://schemas.openxmlformats.org/officeDocument/2006/relationships/hyperlink" Target="https://losprecios.co/d1_t1/dulces-y-pasabocas/frutos-secos_s48" TargetMode="External" Id="rId11" /><Relationship Type="http://schemas.openxmlformats.org/officeDocument/2006/relationships/hyperlink" Target="https://www.rappi.com.co/p/la-especial-mani-con-sal-2735880" TargetMode="External" Id="rId12" /><Relationship Type="http://schemas.openxmlformats.org/officeDocument/2006/relationships/hyperlink" Target="https://www.rappi.com.co/p/mani-moto-snack-natural-80-g-176158" TargetMode="External" Id="rId13" /><Relationship Type="http://schemas.openxmlformats.org/officeDocument/2006/relationships/hyperlink" Target="https://losprecios.co/d1_t1/dulces-y-pasabocas/frutos-secos_s48" TargetMode="External" Id="rId14" /><Relationship Type="http://schemas.openxmlformats.org/officeDocument/2006/relationships/hyperlink" Target="https://losprecios.co/d1_t1/bebidas/energizantes_s23" TargetMode="External" Id="rId15" /><Relationship Type="http://schemas.openxmlformats.org/officeDocument/2006/relationships/hyperlink" Target="https://www.rappi.com.co/p/speed-max-bebida-energizante-250-ml-14689" TargetMode="External" Id="rId16" /><Relationship Type="http://schemas.openxmlformats.org/officeDocument/2006/relationships/hyperlink" Target="https://www.rappi.com.co/p/speed-max-bebida-energizante-400-ml-101763" TargetMode="External" Id="rId17" /><Relationship Type="http://schemas.openxmlformats.org/officeDocument/2006/relationships/hyperlink" Target="https://www.locatelcolombia.com/7702354934361-bebida-vive-100-original-energizante-x-380ml/p" TargetMode="External" Id="rId18" /><Relationship Type="http://schemas.openxmlformats.org/officeDocument/2006/relationships/hyperlink" Target="https://losprecios.co/d1_t1/dulces-y-pasabocas/chocolatinas_s47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" customWidth="1" min="4" max="4"/>
    <col width="52" customWidth="1" min="5" max="5"/>
  </cols>
  <sheetData>
    <row r="2" ht="26" customHeight="1">
      <c r="B2" s="1" t="inlineStr">
        <is>
          <t>GRABI M001 · Unit Economics del piloto</t>
        </is>
      </c>
    </row>
    <row r="3">
      <c r="B3" s="2" t="inlineStr">
        <is>
          <t>Máquina expendedora 4 canales · pago Bre-B + QR firmado · Colombia · elaborado 2026-07-22</t>
        </is>
      </c>
    </row>
    <row r="5">
      <c r="B5" s="3" t="inlineStr">
        <is>
          <t>INDICADORES CLAVE (se calculan solos)</t>
        </is>
      </c>
      <c r="D5" s="3" t="inlineStr">
        <is>
          <t>CÓMO LEERLO</t>
        </is>
      </c>
    </row>
    <row r="6" ht="30" customHeight="1">
      <c r="B6" s="4" t="inlineStr">
        <is>
          <t>CAPEX total por máquina</t>
        </is>
      </c>
      <c r="C6" s="5">
        <f>'Supuestos'!C15</f>
        <v/>
      </c>
      <c r="D6" s="6" t="inlineStr">
        <is>
          <t>Inversión para dejar 1 máquina lista. Editable en 'Supuestos'.</t>
        </is>
      </c>
    </row>
    <row r="7" ht="30" customHeight="1">
      <c r="B7" s="4" t="inlineStr">
        <is>
          <t>Margen de contribución por unidad (prom. ponderado)</t>
        </is>
      </c>
      <c r="C7" s="5">
        <f>'Productos'!E11</f>
        <v/>
      </c>
      <c r="D7" s="6" t="inlineStr">
        <is>
          <t>Precio − costo producto − comisión pago, ponderado por mezcla de ventas.</t>
        </is>
      </c>
    </row>
    <row r="8" ht="30" customHeight="1">
      <c r="B8" s="4" t="inlineStr">
        <is>
          <t>Ticket promedio (precio venta ponderado)</t>
        </is>
      </c>
      <c r="C8" s="5">
        <f>'Productos'!C11</f>
        <v/>
      </c>
      <c r="D8" s="6" t="inlineStr">
        <is>
          <t>Cuánto paga en promedio el cliente por compra.</t>
        </is>
      </c>
    </row>
    <row r="9" ht="30" customHeight="1">
      <c r="B9" s="4" t="inlineStr">
        <is>
          <t>Unidades vendidas / mes</t>
        </is>
      </c>
      <c r="C9" s="7">
        <f>'Modelo mensual'!C7</f>
        <v/>
      </c>
      <c r="D9" s="6">
        <f> ventas/día × días operativos (editable en 'Supuestos').</f>
        <v/>
      </c>
    </row>
    <row r="10" ht="30" customHeight="1">
      <c r="B10" s="4" t="inlineStr">
        <is>
          <t>Ingresos / mes</t>
        </is>
      </c>
      <c r="C10" s="5">
        <f>'Modelo mensual'!C8</f>
        <v/>
      </c>
      <c r="D10" s="6" t="inlineStr">
        <is>
          <t>Facturación bruta mensual de la máquina.</t>
        </is>
      </c>
    </row>
    <row r="11" ht="30" customHeight="1">
      <c r="B11" s="4" t="inlineStr">
        <is>
          <t>Margen de contribución / mes</t>
        </is>
      </c>
      <c r="C11" s="5">
        <f>'Modelo mensual'!C9</f>
        <v/>
      </c>
      <c r="D11" s="6" t="inlineStr">
        <is>
          <t>Antes de restar costos operativos fijos.</t>
        </is>
      </c>
    </row>
    <row r="12" ht="30" customHeight="1">
      <c r="B12" s="4" t="inlineStr">
        <is>
          <t>Utilidad neta / mes por máquina</t>
        </is>
      </c>
      <c r="C12" s="5">
        <f>'Modelo mensual'!C11</f>
        <v/>
      </c>
      <c r="D12" s="6" t="inlineStr">
        <is>
          <t>Después de reabastecimiento, renta, software y comisiones.</t>
        </is>
      </c>
    </row>
    <row r="13" ht="30" customHeight="1">
      <c r="B13" s="4" t="inlineStr">
        <is>
          <t>PAYBACK (meses para recuperar CAPEX)</t>
        </is>
      </c>
      <c r="C13" s="7">
        <f>'Modelo mensual'!C13</f>
        <v/>
      </c>
      <c r="D13" s="6" t="inlineStr">
        <is>
          <t>CAPEX ÷ utilidad mensual. Menor = mejor. Umbral go/no-go abajo.</t>
        </is>
      </c>
    </row>
    <row r="15">
      <c r="B15" s="8" t="inlineStr">
        <is>
          <t>VEREDICTO GO / NO-GO</t>
        </is>
      </c>
    </row>
    <row r="16">
      <c r="B16" s="4" t="inlineStr">
        <is>
          <t>Umbral de payback aceptable (meses) — EDITABLE</t>
        </is>
      </c>
      <c r="C16" s="9" t="n">
        <v>12</v>
      </c>
      <c r="D16" s="6" t="inlineStr">
        <is>
          <t>Regla sugerida: piloto sano si recupera la inversión en ≤ 12 meses (ajústalo a tu apetito).</t>
        </is>
      </c>
    </row>
    <row r="17" ht="24" customHeight="1">
      <c r="B17" s="4" t="inlineStr">
        <is>
          <t>Resultado automático</t>
        </is>
      </c>
      <c r="C17" s="10">
        <f>IF('Modelo mensual'!C11&lt;=0,"NO-GO · utilidad mensual ≤ 0",IF('Modelo mensual'!C13&lt;=C16,"GO · payback dentro del umbral","REVISAR · payback supera el umbral"))</f>
        <v/>
      </c>
    </row>
    <row r="19" ht="42" customHeight="1">
      <c r="B19" s="11" t="inlineStr">
        <is>
          <t>Cómo usar: cambia SOLO las celdas amarillas (hoja 'Supuestos' y 'Productos'). Todo lo demás se recalcula. Los costos de producto son estimados de fuentes públicas 2026 (ver hoja 'Fuentes'); confírmalos en tienda antes de decidir.</t>
        </is>
      </c>
    </row>
  </sheetData>
  <mergeCells count="24">
    <mergeCell ref="B9"/>
    <mergeCell ref="D10:E10"/>
    <mergeCell ref="B6"/>
    <mergeCell ref="B15:E15"/>
    <mergeCell ref="D6:E6"/>
    <mergeCell ref="D11:E11"/>
    <mergeCell ref="D13:E13"/>
    <mergeCell ref="B7"/>
    <mergeCell ref="C17:E17"/>
    <mergeCell ref="B3:E3"/>
    <mergeCell ref="D16:E16"/>
    <mergeCell ref="D7:E7"/>
    <mergeCell ref="B12"/>
    <mergeCell ref="B11"/>
    <mergeCell ref="B2:E2"/>
    <mergeCell ref="D9:E9"/>
    <mergeCell ref="D12:E12"/>
    <mergeCell ref="D8:E8"/>
    <mergeCell ref="B8"/>
    <mergeCell ref="B13"/>
    <mergeCell ref="B5:C5"/>
    <mergeCell ref="D5:E5"/>
    <mergeCell ref="B10"/>
    <mergeCell ref="B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50" customWidth="1" min="4" max="4"/>
  </cols>
  <sheetData>
    <row r="2" ht="24" customHeight="1">
      <c r="B2" s="12" t="inlineStr">
        <is>
          <t>SUPUESTOS EDITABLES  ·  celdas amarillas = llenar con dato real</t>
        </is>
      </c>
    </row>
    <row r="4">
      <c r="B4" s="3" t="inlineStr">
        <is>
          <t>A) CAPEX — inversión por máquina</t>
        </is>
      </c>
      <c r="D4" s="3" t="inlineStr">
        <is>
          <t>Nota / fuente del dato</t>
        </is>
      </c>
    </row>
    <row r="5">
      <c r="B5" s="13" t="inlineStr">
        <is>
          <t>ESP32 (MCU)</t>
        </is>
      </c>
      <c r="C5" s="14" t="n">
        <v>25000</v>
      </c>
      <c r="D5" s="15" t="inlineStr">
        <is>
          <t>Dept. 03 electrónica — reemplazar con precio real de compra</t>
        </is>
      </c>
    </row>
    <row r="6">
      <c r="B6" s="13" t="inlineStr">
        <is>
          <t>Lector QR GM65 (u similar)</t>
        </is>
      </c>
      <c r="C6" s="14" t="n">
        <v>60000</v>
      </c>
      <c r="D6" s="15" t="inlineStr">
        <is>
          <t>Dept. 03 — el ítem más caro de la electrónica</t>
        </is>
      </c>
    </row>
    <row r="7">
      <c r="B7" s="13" t="inlineStr">
        <is>
          <t>RTC DS3231 (reloj para expiración offline)</t>
        </is>
      </c>
      <c r="C7" s="14" t="n">
        <v>8000</v>
      </c>
      <c r="D7" s="15" t="inlineStr">
        <is>
          <t>Dept. 03</t>
        </is>
      </c>
    </row>
    <row r="8">
      <c r="B8" s="13" t="inlineStr">
        <is>
          <t>Fuente de alimentación</t>
        </is>
      </c>
      <c r="C8" s="14" t="n">
        <v>25000</v>
      </c>
      <c r="D8" s="15" t="inlineStr">
        <is>
          <t>Dept. 03</t>
        </is>
      </c>
    </row>
    <row r="9">
      <c r="B9" s="13" t="inlineStr">
        <is>
          <t>Drivers de motor + espiral (electrónica)</t>
        </is>
      </c>
      <c r="C9" s="14" t="n">
        <v>40000</v>
      </c>
      <c r="D9" s="15" t="inlineStr">
        <is>
          <t>Dept. 03 — 4 canales</t>
        </is>
      </c>
    </row>
    <row r="10">
      <c r="B10" s="13" t="inlineStr">
        <is>
          <t>Sensor de caída (confirmación dispensado)</t>
        </is>
      </c>
      <c r="C10" s="14" t="n">
        <v>15000</v>
      </c>
      <c r="D10" s="15" t="inlineStr">
        <is>
          <t>Dept. 03</t>
        </is>
      </c>
    </row>
    <row r="11">
      <c r="B11" s="13" t="inlineStr">
        <is>
          <t>Pantalla / cableado / varios electrónica</t>
        </is>
      </c>
      <c r="C11" s="14" t="n">
        <v>20000</v>
      </c>
      <c r="D11" s="15" t="inlineStr">
        <is>
          <t>Dept. 03</t>
        </is>
      </c>
    </row>
    <row r="12">
      <c r="B12" s="13" t="inlineStr">
        <is>
          <t>Estructura mecánica (parte del amigo)</t>
        </is>
      </c>
      <c r="C12" s="14" t="n">
        <v>300000</v>
      </c>
      <c r="D12" s="15" t="inlineStr">
        <is>
          <t>Dept. 01 — COTIZAR con tu socio; placeholder</t>
        </is>
      </c>
    </row>
    <row r="13">
      <c r="B13" s="13" t="inlineStr">
        <is>
          <t>Instalación / anclaje en punto</t>
        </is>
      </c>
      <c r="C13" s="14" t="n">
        <v>50000</v>
      </c>
      <c r="D13" s="15" t="inlineStr">
        <is>
          <t>Dept. 05 operaciones</t>
        </is>
      </c>
    </row>
    <row r="14">
      <c r="B14" s="13" t="inlineStr">
        <is>
          <t>Otros (imprevistos, empaques, etiquetas)</t>
        </is>
      </c>
      <c r="C14" s="14" t="n">
        <v>30000</v>
      </c>
      <c r="D14" s="15" t="inlineStr">
        <is>
          <t>Colchón; ajustar</t>
        </is>
      </c>
    </row>
    <row r="15">
      <c r="B15" s="16" t="inlineStr">
        <is>
          <t>TOTAL CAPEX por máquina</t>
        </is>
      </c>
      <c r="C15" s="17">
        <f>SUM(C5:C14)</f>
        <v/>
      </c>
      <c r="D15" s="18" t="inlineStr">
        <is>
          <t>Se usa en Resumen y Payback.</t>
        </is>
      </c>
    </row>
    <row r="17">
      <c r="B17" s="3" t="inlineStr">
        <is>
          <t>B) COSTOS OPERATIVOS mensuales (fijos por máquina)</t>
        </is>
      </c>
      <c r="D17" s="3" t="inlineStr">
        <is>
          <t>Nota</t>
        </is>
      </c>
    </row>
    <row r="18">
      <c r="B18" s="13" t="inlineStr">
        <is>
          <t>Reabastecimiento (transporte + tiempo)</t>
        </is>
      </c>
      <c r="C18" s="14" t="n">
        <v>60000</v>
      </c>
      <c r="D18" s="15" t="inlineStr">
        <is>
          <t>Dept. 05 — viajes de surtido al mes</t>
        </is>
      </c>
    </row>
    <row r="19">
      <c r="B19" s="13" t="inlineStr">
        <is>
          <t>Renta / comisión del espacio</t>
        </is>
      </c>
      <c r="C19" s="14" t="n">
        <v>0</v>
      </c>
      <c r="D19" s="15" t="inlineStr">
        <is>
          <t>Dept. 05/06 — 0 si es comodato; poner $ o usar % abajo</t>
        </is>
      </c>
    </row>
    <row r="20">
      <c r="B20" s="13" t="inlineStr">
        <is>
          <t>Prorrateo software (VPS + dominio)</t>
        </is>
      </c>
      <c r="C20" s="14" t="n">
        <v>15000</v>
      </c>
      <c r="D20" s="15" t="inlineStr">
        <is>
          <t>Dept. 02 — se reparte entre nº de máquinas</t>
        </is>
      </c>
    </row>
    <row r="21">
      <c r="B21" s="13" t="inlineStr">
        <is>
          <t>Mantenimiento / mermas estimadas</t>
        </is>
      </c>
      <c r="C21" s="14" t="n">
        <v>20000</v>
      </c>
      <c r="D21" s="15" t="inlineStr">
        <is>
          <t>Colchón operativo</t>
        </is>
      </c>
    </row>
    <row r="22">
      <c r="B22" s="16" t="inlineStr">
        <is>
          <t>TOTAL OPEX mensual</t>
        </is>
      </c>
      <c r="C22" s="17">
        <f>SUM(C18:C21)</f>
        <v/>
      </c>
    </row>
    <row r="24">
      <c r="B24" s="3" t="inlineStr">
        <is>
          <t>C) PAGOS Y VENTAS</t>
        </is>
      </c>
      <c r="D24" s="3" t="inlineStr">
        <is>
          <t>Nota</t>
        </is>
      </c>
    </row>
    <row r="25">
      <c r="B25" s="13" t="inlineStr">
        <is>
          <t>Comisión de pago (% sobre venta)</t>
        </is>
      </c>
      <c r="C25" s="19" t="n">
        <v>0</v>
      </c>
      <c r="D25" s="15" t="inlineStr">
        <is>
          <t>Bre-B directo ≈ 0%. Si usas agregador (Mono/Cobre), pon su % aquí.</t>
        </is>
      </c>
    </row>
    <row r="26">
      <c r="B26" s="13" t="inlineStr">
        <is>
          <t>Ventas por día (unidades, toda la máquina)</t>
        </is>
      </c>
      <c r="C26" s="20" t="n">
        <v>15</v>
      </c>
      <c r="D26" s="15" t="inlineStr">
        <is>
          <t>Dept. 05 — supuesto clave. Prueba 5 / 15 / 30 y mira el payback.</t>
        </is>
      </c>
    </row>
    <row r="27">
      <c r="B27" s="13" t="inlineStr">
        <is>
          <t>Días operativos por mes</t>
        </is>
      </c>
      <c r="C27" s="21" t="n">
        <v>30</v>
      </c>
      <c r="D27" s="15" t="inlineStr">
        <is>
          <t>30 = todos los días; baja si el punto cierra fines de semana.</t>
        </is>
      </c>
    </row>
  </sheetData>
  <mergeCells count="4">
    <mergeCell ref="B24:C24"/>
    <mergeCell ref="B4:C4"/>
    <mergeCell ref="B2:D2"/>
    <mergeCell ref="B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2" ht="24" customHeight="1">
      <c r="B2" s="12" t="inlineStr">
        <is>
          <t>PRODUCTOS · Canasta económica v2 (4 canales)  ·  costos y precios EDITABLES</t>
        </is>
      </c>
    </row>
    <row r="4" ht="34" customHeight="1">
      <c r="B4" s="22" t="inlineStr">
        <is>
          <t>Slot / Producto</t>
        </is>
      </c>
      <c r="C4" s="22" t="inlineStr">
        <is>
          <t>Precio venta</t>
        </is>
      </c>
      <c r="D4" s="22" t="inlineStr">
        <is>
          <t>Costo producto</t>
        </is>
      </c>
      <c r="E4" s="22" t="inlineStr">
        <is>
          <t>Margen unit.
(neto de comisión)</t>
        </is>
      </c>
      <c r="F4" s="22" t="inlineStr">
        <is>
          <t>% mezcla
de ventas</t>
        </is>
      </c>
      <c r="G4" s="22" t="inlineStr">
        <is>
          <t>Margen %</t>
        </is>
      </c>
    </row>
    <row r="5">
      <c r="B5" s="13" t="inlineStr">
        <is>
          <t>1 · Platanitos / Yupi (indiv. 22–25 g)</t>
        </is>
      </c>
      <c r="C5" s="14" t="n">
        <v>2000</v>
      </c>
      <c r="D5" s="14" t="n">
        <v>1000</v>
      </c>
      <c r="E5" s="5">
        <f>C5-D5-C5*Supuestos!C25</f>
        <v/>
      </c>
      <c r="F5" s="23" t="n">
        <v>0.3</v>
      </c>
      <c r="G5" s="24">
        <f>IF(C5=0,0,E5/C5)</f>
        <v/>
      </c>
    </row>
    <row r="6">
      <c r="B6" s="13" t="inlineStr">
        <is>
          <t>2 · Maní individual (40–50 g)</t>
        </is>
      </c>
      <c r="C6" s="14" t="n">
        <v>2000</v>
      </c>
      <c r="D6" s="14" t="n">
        <v>1400</v>
      </c>
      <c r="E6" s="5">
        <f>C6-D6-C6*Supuestos!C25</f>
        <v/>
      </c>
      <c r="F6" s="23" t="n">
        <v>0.2</v>
      </c>
      <c r="G6" s="24">
        <f>IF(C6=0,0,E6/C6)</f>
        <v/>
      </c>
    </row>
    <row r="7">
      <c r="B7" s="13" t="inlineStr">
        <is>
          <t>3 · Agua 600 ml</t>
        </is>
      </c>
      <c r="C7" s="14" t="n">
        <v>2500</v>
      </c>
      <c r="D7" s="14" t="n">
        <v>800</v>
      </c>
      <c r="E7" s="5">
        <f>C7-D7-C7*Supuestos!C25</f>
        <v/>
      </c>
      <c r="F7" s="23" t="n">
        <v>0.3</v>
      </c>
      <c r="G7" s="24">
        <f>IF(C7=0,0,E7/C7)</f>
        <v/>
      </c>
    </row>
    <row r="8">
      <c r="B8" s="13" t="inlineStr">
        <is>
          <t>4 · Speed Max 400 ml (energizante)</t>
        </is>
      </c>
      <c r="C8" s="14" t="n">
        <v>2500</v>
      </c>
      <c r="D8" s="14" t="n">
        <v>1900</v>
      </c>
      <c r="E8" s="5">
        <f>C8-D8-C8*Supuestos!C25</f>
        <v/>
      </c>
      <c r="F8" s="23" t="n">
        <v>0.2</v>
      </c>
      <c r="G8" s="24">
        <f>IF(C8=0,0,E8/C8)</f>
        <v/>
      </c>
    </row>
    <row r="9">
      <c r="B9" s="4" t="inlineStr">
        <is>
          <t>Suma mezcla (debe dar 100%)</t>
        </is>
      </c>
      <c r="C9" s="25" t="n"/>
      <c r="D9" s="25" t="n"/>
      <c r="E9" s="25" t="n"/>
      <c r="F9" s="26">
        <f>SUM(F5:F8)</f>
        <v/>
      </c>
      <c r="G9" s="25" t="n"/>
    </row>
    <row r="11">
      <c r="B11" s="16" t="inlineStr">
        <is>
          <t>PROMEDIO PONDERADO (por mezcla)</t>
        </is>
      </c>
      <c r="C11" s="5">
        <f>SUMPRODUCT(C5:C8,F5:F8)/SUM(F5:F8)</f>
        <v/>
      </c>
      <c r="D11" s="18" t="inlineStr">
        <is>
          <t>← ticket prom.</t>
        </is>
      </c>
      <c r="E11" s="5">
        <f>SUMPRODUCT(E5:E8,F5:F8)/SUM(F5:F8)</f>
        <v/>
      </c>
      <c r="F11" s="25" t="n"/>
      <c r="G11" s="27">
        <f>IF(C11=0,0,E11/C11)</f>
        <v/>
      </c>
    </row>
    <row r="13" ht="42" customHeight="1">
      <c r="B13" s="11" t="inlineStr">
        <is>
          <t>Nota: 'Margen unit.' resta la comisión de pago definida en Supuestos (Bre-B directo = 0%). Costos = estimado de fuentes públicas 2026 (hoja 'Fuentes'). D1 no vende porción individual pequeña: confirma en tienda el costo real de cada presentación de vending.</t>
        </is>
      </c>
    </row>
  </sheetData>
  <mergeCells count="2">
    <mergeCell ref="B2:G2"/>
    <mergeCell ref="B13:G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8" customWidth="1" min="3" max="3"/>
    <col width="50" customWidth="1" min="4" max="4"/>
  </cols>
  <sheetData>
    <row r="2" ht="24" customHeight="1">
      <c r="B2" s="12" t="inlineStr">
        <is>
          <t>MODELO MENSUAL — 1 máquina (todo calculado)</t>
        </is>
      </c>
    </row>
    <row r="4">
      <c r="B4" s="3" t="inlineStr">
        <is>
          <t>Concepto</t>
        </is>
      </c>
      <c r="C4" s="22" t="inlineStr">
        <is>
          <t>Valor</t>
        </is>
      </c>
      <c r="D4" s="3" t="inlineStr">
        <is>
          <t>Fórmula / origen</t>
        </is>
      </c>
    </row>
    <row r="5">
      <c r="B5" s="13" t="inlineStr">
        <is>
          <t>Ventas por día (unidades)</t>
        </is>
      </c>
      <c r="C5" s="28">
        <f>Supuestos!C26</f>
        <v/>
      </c>
      <c r="D5" s="15" t="inlineStr">
        <is>
          <t>Supuesto (editable)</t>
        </is>
      </c>
    </row>
    <row r="6">
      <c r="B6" s="13" t="inlineStr">
        <is>
          <t>Días operativos / mes</t>
        </is>
      </c>
      <c r="C6" s="28">
        <f>Supuestos!C27</f>
        <v/>
      </c>
      <c r="D6" s="15" t="inlineStr">
        <is>
          <t>Supuesto (editable)</t>
        </is>
      </c>
    </row>
    <row r="7">
      <c r="B7" s="13" t="inlineStr">
        <is>
          <t>Unidades vendidas / mes</t>
        </is>
      </c>
      <c r="C7" s="5">
        <f>C5*C6</f>
        <v/>
      </c>
      <c r="D7" s="15" t="inlineStr">
        <is>
          <t>ventas/día × días</t>
        </is>
      </c>
    </row>
    <row r="8">
      <c r="B8" s="13" t="inlineStr">
        <is>
          <t>Ingresos / mes</t>
        </is>
      </c>
      <c r="C8" s="5">
        <f>C7*Productos!C11</f>
        <v/>
      </c>
      <c r="D8" s="15" t="inlineStr">
        <is>
          <t>unidades × ticket promedio</t>
        </is>
      </c>
    </row>
    <row r="9">
      <c r="B9" s="13" t="inlineStr">
        <is>
          <t>Margen de contribución / mes</t>
        </is>
      </c>
      <c r="C9" s="28">
        <f>C7*Productos!E11</f>
        <v/>
      </c>
      <c r="D9" s="15" t="inlineStr">
        <is>
          <t>unidades × margen unit. ponderado</t>
        </is>
      </c>
    </row>
    <row r="10">
      <c r="B10" s="13" t="inlineStr">
        <is>
          <t>(−) Costos operativos / mes</t>
        </is>
      </c>
      <c r="C10" s="28">
        <f>-Supuestos!C22</f>
        <v/>
      </c>
      <c r="D10" s="15" t="inlineStr">
        <is>
          <t>Total OPEX (Supuestos)</t>
        </is>
      </c>
    </row>
    <row r="11">
      <c r="B11" s="29">
        <f> UTILIDAD NETA / mes por máquina</f>
        <v/>
      </c>
      <c r="C11" s="30">
        <f>C9+C10</f>
        <v/>
      </c>
      <c r="D11" s="18" t="inlineStr">
        <is>
          <t>Margen de contribución − OPEX</t>
        </is>
      </c>
    </row>
    <row r="12">
      <c r="B12" s="4" t="inlineStr">
        <is>
          <t>Utilidad neta / año</t>
        </is>
      </c>
      <c r="C12" s="5">
        <f>C11*12</f>
        <v/>
      </c>
      <c r="D12" s="25" t="n"/>
    </row>
    <row r="13">
      <c r="B13" s="16" t="inlineStr">
        <is>
          <t>PAYBACK (meses)</t>
        </is>
      </c>
      <c r="C13" s="31">
        <f>IF(C11&lt;=0,"n/a (sin utilidad)",Supuestos!C15/C11)</f>
        <v/>
      </c>
      <c r="D13" s="18" t="inlineStr">
        <is>
          <t>CAPEX ÷ utilidad neta mensual</t>
        </is>
      </c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2" ht="24" customHeight="1">
      <c r="B2" s="12" t="inlineStr">
        <is>
          <t>ESCENARIOS — escalado y sensibilidad</t>
        </is>
      </c>
    </row>
    <row r="4">
      <c r="B4" s="3" t="inlineStr">
        <is>
          <t>A) Flota de máquinas (misma economía por máquina)</t>
        </is>
      </c>
    </row>
    <row r="5">
      <c r="B5" s="22" t="inlineStr">
        <is>
          <t>Concepto</t>
        </is>
      </c>
      <c r="C5" s="22" t="inlineStr">
        <is>
          <t>1 máquina</t>
        </is>
      </c>
      <c r="D5" s="22" t="inlineStr">
        <is>
          <t>5 máquinas</t>
        </is>
      </c>
      <c r="E5" s="22" t="inlineStr">
        <is>
          <t>20 máquinas</t>
        </is>
      </c>
    </row>
    <row r="6">
      <c r="B6" s="4" t="inlineStr">
        <is>
          <t>Nº máquinas</t>
        </is>
      </c>
      <c r="C6" s="32" t="n">
        <v>1</v>
      </c>
      <c r="D6" s="32" t="n">
        <v>5</v>
      </c>
      <c r="E6" s="32" t="n">
        <v>20</v>
      </c>
    </row>
    <row r="7">
      <c r="B7" s="13" t="inlineStr">
        <is>
          <t>CAPEX total</t>
        </is>
      </c>
      <c r="C7" s="28">
        <f>Supuestos!C15*1</f>
        <v/>
      </c>
      <c r="D7" s="28">
        <f>Supuestos!C15*5</f>
        <v/>
      </c>
      <c r="E7" s="28">
        <f>Supuestos!C15*20</f>
        <v/>
      </c>
    </row>
    <row r="8">
      <c r="B8" s="13" t="inlineStr">
        <is>
          <t>Utilidad neta / mes</t>
        </is>
      </c>
      <c r="C8" s="28">
        <f>'Modelo mensual'!C11*1</f>
        <v/>
      </c>
      <c r="D8" s="28">
        <f>'Modelo mensual'!C11*5</f>
        <v/>
      </c>
      <c r="E8" s="28">
        <f>'Modelo mensual'!C11*20</f>
        <v/>
      </c>
    </row>
    <row r="9">
      <c r="B9" s="13" t="inlineStr">
        <is>
          <t>Utilidad neta / año</t>
        </is>
      </c>
      <c r="C9" s="28">
        <f>'Modelo mensual'!C11*12*1</f>
        <v/>
      </c>
      <c r="D9" s="28">
        <f>'Modelo mensual'!C11*12*5</f>
        <v/>
      </c>
      <c r="E9" s="28">
        <f>'Modelo mensual'!C11*12*20</f>
        <v/>
      </c>
    </row>
    <row r="10">
      <c r="B10" s="4" t="inlineStr">
        <is>
          <t>Payback (meses)</t>
        </is>
      </c>
      <c r="C10" s="33">
        <f>IF('Modelo mensual'!C11&lt;=0,"n/a",C7/C8)</f>
        <v/>
      </c>
      <c r="D10" s="33">
        <f>IF('Modelo mensual'!C11&lt;=0,"n/a",D7/D8)</f>
        <v/>
      </c>
      <c r="E10" s="33">
        <f>IF('Modelo mensual'!C11&lt;=0,"n/a",E7/E8)</f>
        <v/>
      </c>
    </row>
    <row r="11" ht="44" customHeight="1">
      <c r="B11" s="11" t="inlineStr">
        <is>
          <t>Nota: el payback por máquina no cambia con la flota (misma economía). Lo que cambia al escalar es la utilidad absoluta y el CAPEX total. Costos que bajan por volumen (compra de producto, electrónica) y costos que suben (logística, soporte) deben ajustarse manualmente en 'Supuestos' para cada escenario real.</t>
        </is>
      </c>
    </row>
    <row r="13">
      <c r="B13" s="3" t="inlineStr">
        <is>
          <t>B) Sensibilidad a ventas/día (1 máquina)</t>
        </is>
      </c>
    </row>
    <row r="14">
      <c r="B14" s="22" t="inlineStr">
        <is>
          <t>Ventas/día</t>
        </is>
      </c>
      <c r="C14" s="22" t="inlineStr">
        <is>
          <t>Utilidad neta/mes</t>
        </is>
      </c>
      <c r="D14" s="22" t="inlineStr">
        <is>
          <t>Payback (meses)</t>
        </is>
      </c>
    </row>
    <row r="15">
      <c r="B15" s="13" t="inlineStr">
        <is>
          <t>5 u/día</t>
        </is>
      </c>
      <c r="C15" s="28">
        <f>5*Supuestos!C27*Productos!E11-Supuestos!C22</f>
        <v/>
      </c>
      <c r="D15" s="34">
        <f>IF((5*Supuestos!C27*Productos!E11-Supuestos!C22)&lt;=0,"n/a",Supuestos!C15/(5*Supuestos!C27*Productos!E11-Supuestos!C22))</f>
        <v/>
      </c>
      <c r="E15" s="25" t="n"/>
    </row>
    <row r="16">
      <c r="B16" s="13" t="inlineStr">
        <is>
          <t>10 u/día</t>
        </is>
      </c>
      <c r="C16" s="28">
        <f>10*Supuestos!C27*Productos!E11-Supuestos!C22</f>
        <v/>
      </c>
      <c r="D16" s="34">
        <f>IF((10*Supuestos!C27*Productos!E11-Supuestos!C22)&lt;=0,"n/a",Supuestos!C15/(10*Supuestos!C27*Productos!E11-Supuestos!C22))</f>
        <v/>
      </c>
      <c r="E16" s="25" t="n"/>
    </row>
    <row r="17">
      <c r="B17" s="13" t="inlineStr">
        <is>
          <t>15 u/día</t>
        </is>
      </c>
      <c r="C17" s="28">
        <f>15*Supuestos!C27*Productos!E11-Supuestos!C22</f>
        <v/>
      </c>
      <c r="D17" s="34">
        <f>IF((15*Supuestos!C27*Productos!E11-Supuestos!C22)&lt;=0,"n/a",Supuestos!C15/(15*Supuestos!C27*Productos!E11-Supuestos!C22))</f>
        <v/>
      </c>
      <c r="E17" s="25" t="n"/>
    </row>
    <row r="18">
      <c r="B18" s="13" t="inlineStr">
        <is>
          <t>20 u/día</t>
        </is>
      </c>
      <c r="C18" s="28">
        <f>20*Supuestos!C27*Productos!E11-Supuestos!C22</f>
        <v/>
      </c>
      <c r="D18" s="34">
        <f>IF((20*Supuestos!C27*Productos!E11-Supuestos!C22)&lt;=0,"n/a",Supuestos!C15/(20*Supuestos!C27*Productos!E11-Supuestos!C22))</f>
        <v/>
      </c>
      <c r="E18" s="25" t="n"/>
    </row>
    <row r="19">
      <c r="B19" s="13" t="inlineStr">
        <is>
          <t>30 u/día</t>
        </is>
      </c>
      <c r="C19" s="28">
        <f>30*Supuestos!C27*Productos!E11-Supuestos!C22</f>
        <v/>
      </c>
      <c r="D19" s="34">
        <f>IF((30*Supuestos!C27*Productos!E11-Supuestos!C22)&lt;=0,"n/a",Supuestos!C15/(30*Supuestos!C27*Productos!E11-Supuestos!C22))</f>
        <v/>
      </c>
      <c r="E19" s="25" t="n"/>
    </row>
    <row r="20">
      <c r="B20" s="13" t="inlineStr">
        <is>
          <t>40 u/día</t>
        </is>
      </c>
      <c r="C20" s="28">
        <f>40*Supuestos!C27*Productos!E11-Supuestos!C22</f>
        <v/>
      </c>
      <c r="D20" s="34">
        <f>IF((40*Supuestos!C27*Productos!E11-Supuestos!C22)&lt;=0,"n/a",Supuestos!C15/(40*Supuestos!C27*Productos!E11-Supuestos!C22))</f>
        <v/>
      </c>
      <c r="E20" s="25" t="n"/>
    </row>
  </sheetData>
  <mergeCells count="4">
    <mergeCell ref="B13:E13"/>
    <mergeCell ref="B11:E11"/>
    <mergeCell ref="B2:E2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2" customWidth="1" min="4" max="4"/>
    <col width="26" customWidth="1" min="5" max="5"/>
    <col width="60" customWidth="1" min="6" max="6"/>
  </cols>
  <sheetData>
    <row r="2" ht="24" customHeight="1">
      <c r="B2" s="12" t="inlineStr">
        <is>
          <t>FUENTES DE PRECIOS — investigación 2026-07-22</t>
        </is>
      </c>
    </row>
    <row r="3" ht="44" customHeight="1">
      <c r="B3" s="11" t="inlineStr">
        <is>
          <t>Regla: D1 es hard-discount, NO vende al por mayor → su precio de góndola ES tu costo. D1 casi no maneja porción individual pequeña (ideal para vending): esos costos vienen de retail/mayorista y hay que CONFIRMARLOS en tienda. Retail de conveniencia (OXXO) sirve como techo de precio de venta.</t>
        </is>
      </c>
    </row>
    <row r="5">
      <c r="B5" s="22" t="inlineStr">
        <is>
          <t>Producto / Marca</t>
        </is>
      </c>
      <c r="C5" s="22" t="inlineStr">
        <is>
          <t>Tamaño</t>
        </is>
      </c>
      <c r="D5" s="22" t="inlineStr">
        <is>
          <t>Precio COP</t>
        </is>
      </c>
      <c r="E5" s="22" t="inlineStr">
        <is>
          <t>Tienda / Tipo</t>
        </is>
      </c>
      <c r="F5" s="22" t="inlineStr">
        <is>
          <t>Fuente (URL)</t>
        </is>
      </c>
    </row>
    <row r="6">
      <c r="B6" s="13" t="inlineStr">
        <is>
          <t>Agua Omi con gas (D1)</t>
        </is>
      </c>
      <c r="C6" s="13" t="inlineStr">
        <is>
          <t>600 ml</t>
        </is>
      </c>
      <c r="D6" s="13" t="inlineStr">
        <is>
          <t>$890</t>
        </is>
      </c>
      <c r="E6" s="13" t="inlineStr">
        <is>
          <t>D1 · góndola=costo</t>
        </is>
      </c>
      <c r="F6" s="35" t="inlineStr">
        <is>
          <t>https://losprecios.co/d1_t1/bebidas/aguas_s18</t>
        </is>
      </c>
    </row>
    <row r="7">
      <c r="B7" s="13" t="inlineStr">
        <is>
          <t>Agua Omi botella (D1)</t>
        </is>
      </c>
      <c r="C7" s="13" t="inlineStr">
        <is>
          <t>1.000 ml</t>
        </is>
      </c>
      <c r="D7" s="13" t="inlineStr">
        <is>
          <t>$950</t>
        </is>
      </c>
      <c r="E7" s="13" t="inlineStr">
        <is>
          <t>D1 · góndola=costo</t>
        </is>
      </c>
      <c r="F7" s="35" t="inlineStr">
        <is>
          <t>https://losprecios.co/d1_t1/bebidas/aguas_s18</t>
        </is>
      </c>
    </row>
    <row r="8">
      <c r="B8" s="13" t="inlineStr">
        <is>
          <t>Agua Omi sin gas 600 ml (D1)</t>
        </is>
      </c>
      <c r="C8" s="13" t="inlineStr">
        <is>
          <t>600 ml</t>
        </is>
      </c>
      <c r="D8" s="36" t="inlineStr">
        <is>
          <t>NO listada</t>
        </is>
      </c>
      <c r="E8" s="13" t="inlineStr">
        <is>
          <t>D1 · CONFIRMAR EN TIENDA</t>
        </is>
      </c>
      <c r="F8" s="35" t="inlineStr">
        <is>
          <t>https://losprecios.co/d1_t1/bebidas/aguas_s18</t>
        </is>
      </c>
    </row>
    <row r="9">
      <c r="B9" s="13" t="inlineStr">
        <is>
          <t>Agua Cristal sin gas</t>
        </is>
      </c>
      <c r="C9" s="13" t="inlineStr">
        <is>
          <t>600 ml</t>
        </is>
      </c>
      <c r="D9" s="13" t="inlineStr">
        <is>
          <t>$1.650</t>
        </is>
      </c>
      <c r="E9" s="13" t="inlineStr">
        <is>
          <t>Megatiendas · retail</t>
        </is>
      </c>
      <c r="F9" s="35" t="inlineStr">
        <is>
          <t>https://www.megatiendas.co/agua-cristal-sin-gas-x-600-ml-7702090022711/p</t>
        </is>
      </c>
    </row>
    <row r="10">
      <c r="B10" s="13" t="inlineStr">
        <is>
          <t>Agua Cristal (paca x24)</t>
        </is>
      </c>
      <c r="C10" s="13" t="inlineStr">
        <is>
          <t>600 ml c/u</t>
        </is>
      </c>
      <c r="D10" s="13" t="inlineStr">
        <is>
          <t>~$630/u</t>
        </is>
      </c>
      <c r="E10" s="13" t="inlineStr">
        <is>
          <t>Éxito · mayorista/paca</t>
        </is>
      </c>
      <c r="F10" s="35" t="inlineStr">
        <is>
          <t>https://www.exito.com/agua-ahorra-pack-pet-845228/p</t>
        </is>
      </c>
    </row>
    <row r="11">
      <c r="B11" s="13" t="inlineStr">
        <is>
          <t>Agua Cristal</t>
        </is>
      </c>
      <c r="C11" s="13" t="inlineStr">
        <is>
          <t>600 ml</t>
        </is>
      </c>
      <c r="D11" s="13" t="inlineStr">
        <is>
          <t>$2.200</t>
        </is>
      </c>
      <c r="E11" s="13" t="inlineStr">
        <is>
          <t>OXXO · conveniencia (techo)</t>
        </is>
      </c>
      <c r="F11" s="35" t="inlineStr">
        <is>
          <t>https://colombia.oxxodomicilios.com/product-details/agua-purificada-cristal-600ml/01H1Y71ZTVND8EWVXHS05EHMWQ</t>
        </is>
      </c>
    </row>
    <row r="12">
      <c r="B12" s="13" t="inlineStr">
        <is>
          <t>Papas Kythos (D1)</t>
        </is>
      </c>
      <c r="C12" s="13" t="inlineStr">
        <is>
          <t>115 g</t>
        </is>
      </c>
      <c r="D12" s="13" t="inlineStr">
        <is>
          <t>$3.400</t>
        </is>
      </c>
      <c r="E12" s="13" t="inlineStr">
        <is>
          <t>D1 · góndola=costo (bolsa grande)</t>
        </is>
      </c>
      <c r="F12" s="35" t="inlineStr">
        <is>
          <t>https://losprecios.co/d1_t1/dulces-y-pasabocas/paquetes_s45</t>
        </is>
      </c>
    </row>
    <row r="13">
      <c r="B13" s="13" t="inlineStr">
        <is>
          <t>Platanitos Plataitos (D1)</t>
        </is>
      </c>
      <c r="C13" s="13" t="inlineStr">
        <is>
          <t>80 g</t>
        </is>
      </c>
      <c r="D13" s="13" t="inlineStr">
        <is>
          <t>$4.250</t>
        </is>
      </c>
      <c r="E13" s="13" t="inlineStr">
        <is>
          <t>D1 · góndola=costo</t>
        </is>
      </c>
      <c r="F13" s="35" t="inlineStr">
        <is>
          <t>https://losprecios.co/d1_t1/dulces-y-pasabocas/paquetes_s45</t>
        </is>
      </c>
    </row>
    <row r="14">
      <c r="B14" s="13" t="inlineStr">
        <is>
          <t>Yupi Clásica (pack x12)</t>
        </is>
      </c>
      <c r="C14" s="13" t="inlineStr">
        <is>
          <t>22 g c/u</t>
        </is>
      </c>
      <c r="D14" s="13" t="inlineStr">
        <is>
          <t>~$975/u</t>
        </is>
      </c>
      <c r="E14" s="13" t="inlineStr">
        <is>
          <t>Múcura · mayorista</t>
        </is>
      </c>
      <c r="F14" s="35" t="inlineStr">
        <is>
          <t>https://mucura.co/bogota/marca/yupi</t>
        </is>
      </c>
    </row>
    <row r="15">
      <c r="B15" s="13" t="inlineStr">
        <is>
          <t>Margarita Papas Natural</t>
        </is>
      </c>
      <c r="C15" s="13" t="inlineStr">
        <is>
          <t>individual</t>
        </is>
      </c>
      <c r="D15" s="13" t="inlineStr">
        <is>
          <t>$2.010</t>
        </is>
      </c>
      <c r="E15" s="13" t="inlineStr">
        <is>
          <t>Rappi · retail</t>
        </is>
      </c>
      <c r="F15" s="35" t="inlineStr">
        <is>
          <t>https://www.rappi.com.co/p/margarita-papas-fritas-natural-101993</t>
        </is>
      </c>
    </row>
    <row r="16">
      <c r="B16" s="13" t="inlineStr">
        <is>
          <t>Platanitos indiv. pequeño</t>
        </is>
      </c>
      <c r="C16" s="13" t="inlineStr">
        <is>
          <t>~25-30 g</t>
        </is>
      </c>
      <c r="D16" s="36" t="inlineStr">
        <is>
          <t>NO confirmado</t>
        </is>
      </c>
      <c r="E16" s="13" t="inlineStr">
        <is>
          <t>CONFIRMAR EN TIENDA</t>
        </is>
      </c>
      <c r="F16" s="37" t="inlineStr">
        <is>
          <t>(catálogo Comestibles Ricos sin precio unitario)</t>
        </is>
      </c>
    </row>
    <row r="17">
      <c r="B17" s="13" t="inlineStr">
        <is>
          <t>Maní Salado Nuthos (D1)</t>
        </is>
      </c>
      <c r="C17" s="13" t="inlineStr">
        <is>
          <t>200 g</t>
        </is>
      </c>
      <c r="D17" s="13" t="inlineStr">
        <is>
          <t>$3.950</t>
        </is>
      </c>
      <c r="E17" s="13" t="inlineStr">
        <is>
          <t>D1 · góndola=costo (bolsa grande)</t>
        </is>
      </c>
      <c r="F17" s="35" t="inlineStr">
        <is>
          <t>https://losprecios.co/d1_t1/dulces-y-pasabocas/frutos-secos_s48</t>
        </is>
      </c>
    </row>
    <row r="18">
      <c r="B18" s="13" t="inlineStr">
        <is>
          <t>La Especial Maní con Sal</t>
        </is>
      </c>
      <c r="C18" s="13" t="inlineStr">
        <is>
          <t>50 g</t>
        </is>
      </c>
      <c r="D18" s="13" t="inlineStr">
        <is>
          <t>$1.700</t>
        </is>
      </c>
      <c r="E18" s="13" t="inlineStr">
        <is>
          <t>Rappi · retail</t>
        </is>
      </c>
      <c r="F18" s="35" t="inlineStr">
        <is>
          <t>https://www.rappi.com.co/p/la-especial-mani-con-sal-2735880</t>
        </is>
      </c>
    </row>
    <row r="19">
      <c r="B19" s="13" t="inlineStr">
        <is>
          <t>Maní Moto Natural</t>
        </is>
      </c>
      <c r="C19" s="13" t="inlineStr">
        <is>
          <t>80 g</t>
        </is>
      </c>
      <c r="D19" s="13" t="inlineStr">
        <is>
          <t>$3.190</t>
        </is>
      </c>
      <c r="E19" s="13" t="inlineStr">
        <is>
          <t>Éxito · retail (~$1.600/40g)</t>
        </is>
      </c>
      <c r="F19" s="35" t="inlineStr">
        <is>
          <t>https://www.rappi.com.co/p/mani-moto-snack-natural-80-g-176158</t>
        </is>
      </c>
    </row>
    <row r="20">
      <c r="B20" s="13" t="inlineStr">
        <is>
          <t>Maní Nuthos indiv. (D1)</t>
        </is>
      </c>
      <c r="C20" s="13" t="inlineStr">
        <is>
          <t>~40-50 g</t>
        </is>
      </c>
      <c r="D20" s="36" t="inlineStr">
        <is>
          <t>NO listado</t>
        </is>
      </c>
      <c r="E20" s="13" t="inlineStr">
        <is>
          <t>D1 · CONFIRMAR EN TIENDA</t>
        </is>
      </c>
      <c r="F20" s="35" t="inlineStr">
        <is>
          <t>https://losprecios.co/d1_t1/dulces-y-pasabocas/frutos-secos_s48</t>
        </is>
      </c>
    </row>
    <row r="21">
      <c r="B21" s="13" t="inlineStr">
        <is>
          <t>Energizante marca propia D1</t>
        </is>
      </c>
      <c r="C21" s="13" t="inlineStr">
        <is>
          <t>n/d</t>
        </is>
      </c>
      <c r="D21" s="36" t="inlineStr">
        <is>
          <t>categoría VACÍA</t>
        </is>
      </c>
      <c r="E21" s="13" t="inlineStr">
        <is>
          <t>D1 · CONFIRMAR EN TIENDA</t>
        </is>
      </c>
      <c r="F21" s="35" t="inlineStr">
        <is>
          <t>https://losprecios.co/d1_t1/bebidas/energizantes_s23</t>
        </is>
      </c>
    </row>
    <row r="22">
      <c r="B22" s="13" t="inlineStr">
        <is>
          <t>Speed Max</t>
        </is>
      </c>
      <c r="C22" s="13" t="inlineStr">
        <is>
          <t>250 ml</t>
        </is>
      </c>
      <c r="D22" s="13" t="inlineStr">
        <is>
          <t>desde $1.820</t>
        </is>
      </c>
      <c r="E22" s="13" t="inlineStr">
        <is>
          <t>Rappi · retail</t>
        </is>
      </c>
      <c r="F22" s="35" t="inlineStr">
        <is>
          <t>https://www.rappi.com.co/p/speed-max-bebida-energizante-250-ml-14689</t>
        </is>
      </c>
    </row>
    <row r="23">
      <c r="B23" s="13" t="inlineStr">
        <is>
          <t>Speed Max</t>
        </is>
      </c>
      <c r="C23" s="13" t="inlineStr">
        <is>
          <t>400 ml</t>
        </is>
      </c>
      <c r="D23" s="13" t="inlineStr">
        <is>
          <t>$2.030–2.450</t>
        </is>
      </c>
      <c r="E23" s="13" t="inlineStr">
        <is>
          <t>Rappi (Éxito/Makro) · retail</t>
        </is>
      </c>
      <c r="F23" s="35" t="inlineStr">
        <is>
          <t>https://www.rappi.com.co/p/speed-max-bebida-energizante-400-ml-101763</t>
        </is>
      </c>
    </row>
    <row r="24">
      <c r="B24" s="13" t="inlineStr">
        <is>
          <t>Vive 100 Original</t>
        </is>
      </c>
      <c r="C24" s="13" t="inlineStr">
        <is>
          <t>380 ml</t>
        </is>
      </c>
      <c r="D24" s="13" t="inlineStr">
        <is>
          <t>$2.100 (Makro) – $2.850 (Locatel)</t>
        </is>
      </c>
      <c r="E24" s="13" t="inlineStr">
        <is>
          <t>Rappi / Locatel · retail</t>
        </is>
      </c>
      <c r="F24" s="35" t="inlineStr">
        <is>
          <t>https://www.locatelcolombia.com/7702354934361-bebida-vive-100-original-energizante-x-380ml/p</t>
        </is>
      </c>
    </row>
    <row r="25">
      <c r="B25" s="13" t="inlineStr">
        <is>
          <t>Chocolatina Jet (D1)</t>
        </is>
      </c>
      <c r="C25" s="13" t="inlineStr">
        <is>
          <t>22 g</t>
        </is>
      </c>
      <c r="D25" s="13" t="inlineStr">
        <is>
          <t>$2.000</t>
        </is>
      </c>
      <c r="E25" s="13" t="inlineStr">
        <is>
          <t>D1 · góndola=costo</t>
        </is>
      </c>
      <c r="F25" s="35" t="inlineStr">
        <is>
          <t>https://losprecios.co/d1_t1/dulces-y-pasabocas/chocolatinas_s47</t>
        </is>
      </c>
    </row>
    <row r="27" ht="30" customHeight="1">
      <c r="B27" s="11" t="inlineStr">
        <is>
          <t>Rojo = dato NO encontrado / a confirmar por Daniel en tienda física. Mercamío (Cali) no fue consultable por Rappi (SPA con login); usar app logueada o visita presencial para precios exactos.</t>
        </is>
      </c>
    </row>
  </sheetData>
  <mergeCells count="3">
    <mergeCell ref="B2:F2"/>
    <mergeCell ref="B27:F27"/>
    <mergeCell ref="B3:F3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7" r:id="rId11"/>
    <hyperlink xmlns:r="http://schemas.openxmlformats.org/officeDocument/2006/relationships" ref="F18" r:id="rId12"/>
    <hyperlink xmlns:r="http://schemas.openxmlformats.org/officeDocument/2006/relationships" ref="F19" r:id="rId13"/>
    <hyperlink xmlns:r="http://schemas.openxmlformats.org/officeDocument/2006/relationships" ref="F20" r:id="rId14"/>
    <hyperlink xmlns:r="http://schemas.openxmlformats.org/officeDocument/2006/relationships" ref="F21" r:id="rId15"/>
    <hyperlink xmlns:r="http://schemas.openxmlformats.org/officeDocument/2006/relationships" ref="F22" r:id="rId16"/>
    <hyperlink xmlns:r="http://schemas.openxmlformats.org/officeDocument/2006/relationships" ref="F23" r:id="rId17"/>
    <hyperlink xmlns:r="http://schemas.openxmlformats.org/officeDocument/2006/relationships" ref="F24" r:id="rId18"/>
    <hyperlink xmlns:r="http://schemas.openxmlformats.org/officeDocument/2006/relationships" ref="F25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2026-07-22T07:51:54Z</dcterms:created>
  <dcterms:modified xsi:type="dcterms:W3CDTF">2026-07-22T07:51:54Z</dcterms:modified>
</cp:coreProperties>
</file>